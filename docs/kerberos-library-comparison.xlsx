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arison" sheetId="1" state="visible" r:id="rId3"/>
    <sheet name="Notes" sheetId="2" state="visible" r:id="rId4"/>
  </sheets>
  <definedNames>
    <definedName function="false" hidden="true" localSheetId="0" name="_xlnm._FilterDatabase" vbProcedure="false">Comparison!$A$4:$I$14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<sst xmlns="http://schemas.openxmlformats.org/spreadsheetml/2006/main" count="118" uniqueCount="111">
  <si>
    <t xml:space="preserve">shared-home-kerberos: Kerberos library options for orthrus</t>
  </si>
  <si>
    <t xml:space="preserve">Can each option mint per-user service tickets by constrained delegation and write them to the user's shared home? Compiled 2026-10-09.</t>
  </si>
  <si>
    <t xml:space="preserve">Option</t>
  </si>
  <si>
    <t xml:space="preserve">Language / form</t>
  </si>
  <si>
    <t xml:space="preserve">Constrained delegation (S4U2Self + S4U2Proxy)</t>
  </si>
  <si>
    <t xml:space="preserve">Writes an MIT FILE ccache for shared home</t>
  </si>
  <si>
    <t xml:space="preserve">Third-party Python deps</t>
  </si>
  <si>
    <t xml:space="preserve">Maintainer / provenance</t>
  </si>
  <si>
    <t xml:space="preserve">Fit for shared-home design</t>
  </si>
  <si>
    <t xml:space="preserve">Key caveat</t>
  </si>
  <si>
    <t xml:space="preserve">Evidence</t>
  </si>
  <si>
    <t xml:space="preserve">MIT kinit / klist / kvno (current, v2.0.0 on main)</t>
  </si>
  <si>
    <t xml:space="preserve">Command-line tools, called via subprocess</t>
  </si>
  <si>
    <t xml:space="preserve">Yes (kvno -U ... -P ...)</t>
  </si>
  <si>
    <t xml:space="preserve">Yes (kvno --out-cache)</t>
  </si>
  <si>
    <t xml:space="preserve">None</t>
  </si>
  <si>
    <t xml:space="preserve">MIT Kerberos Consortium; ships with RHEL/Ubuntu</t>
  </si>
  <si>
    <t xml:space="preserve">Current choice</t>
  </si>
  <si>
    <t xml:space="preserve">Text parsing of klist output; environment variables scrubbed by hand</t>
  </si>
  <si>
    <t xml:space="preserve">In use; tested in repo</t>
  </si>
  <si>
    <t xml:space="preserve">MIT libkrb5 API via ctypes (rejected v3 branch)</t>
  </si>
  <si>
    <t xml:space="preserve">Python ctypes binding to libkrb5.so.3</t>
  </si>
  <si>
    <t xml:space="preserve">Yes (krb5_get_credentials_for_user / _for_proxy)</t>
  </si>
  <si>
    <t xml:space="preserve">Yes (krb5_cc_move)</t>
  </si>
  <si>
    <t xml:space="preserve">MIT Kerberos Consortium</t>
  </si>
  <si>
    <t xml:space="preserve">Rejected</t>
  </si>
  <si>
    <t xml:space="preserve">S4U functions exported but declared only in MIT's internal header; ctypes bug can crash the daemon</t>
  </si>
  <si>
    <t xml:space="preserve">Built and tested end to end (19/19 PASS), 2026-10-09</t>
  </si>
  <si>
    <t xml:space="preserve">python-gssapi</t>
  </si>
  <si>
    <t xml:space="preserve">Python, wraps MIT GSSAPI</t>
  </si>
  <si>
    <t xml:space="preserve">Yes (impersonation extension)</t>
  </si>
  <si>
    <t xml:space="preserve">Yes, with care</t>
  </si>
  <si>
    <t xml:space="preserve">python-gssapi (Cython build)</t>
  </si>
  <si>
    <t xml:space="preserve">pythongssapi project; used by FreeIPA, requests-gssapi</t>
  </si>
  <si>
    <t xml:space="preserve">Best library option</t>
  </si>
  <si>
    <t xml:space="preserve">Saving impersonated credentials may write the broker's TGT into the user's file; must store service tickets only</t>
  </si>
  <si>
    <t xml:space="preserve">From knowledge - verify in a prototype</t>
  </si>
  <si>
    <t xml:space="preserve">pykrb5</t>
  </si>
  <si>
    <t xml:space="preserve">Python, wraps MIT or Heimdal krb5</t>
  </si>
  <si>
    <t xml:space="preserve">Unsure (keytab and ccache yes; S4U not confirmed)</t>
  </si>
  <si>
    <t xml:space="preserve">Yes</t>
  </si>
  <si>
    <t xml:space="preserve">krb5 (Cython build)</t>
  </si>
  <si>
    <t xml:space="preserve">jborean93 (pyspnego author)</t>
  </si>
  <si>
    <t xml:space="preserve">Good if S4U is exposed</t>
  </si>
  <si>
    <t xml:space="preserve">Confirm S4U2Self/S4U2Proxy coverage before choosing</t>
  </si>
  <si>
    <t xml:space="preserve">From knowledge - verify</t>
  </si>
  <si>
    <t xml:space="preserve">Kerberos.NET</t>
  </si>
  <si>
    <t xml:space="preserve">C# / .NET on Linux</t>
  </si>
  <si>
    <t xml:space="preserve">Yes; designed with AD in mind</t>
  </si>
  <si>
    <t xml:space="preserve">Unsure</t>
  </si>
  <si>
    <t xml:space="preserve">N/A (.NET packages)</t>
  </si>
  <si>
    <t xml:space="preserve">dotnet organization on GitHub</t>
  </si>
  <si>
    <t xml:space="preserve">Possible, needs rewrite</t>
  </si>
  <si>
    <t xml:space="preserve">Daemon would have to be rewritten in .NET</t>
  </si>
  <si>
    <t xml:space="preserve">Java JGSS (built into the JDK)</t>
  </si>
  <si>
    <t xml:space="preserve">Java</t>
  </si>
  <si>
    <t xml:space="preserve">Yes (Hadoop proxy users use it)</t>
  </si>
  <si>
    <t xml:space="preserve">No (reads ccache, cannot write)</t>
  </si>
  <si>
    <t xml:space="preserve">N/A (JDK)</t>
  </si>
  <si>
    <t xml:space="preserve">Oracle / OpenJDK</t>
  </si>
  <si>
    <t xml:space="preserve">Poor fit</t>
  </si>
  <si>
    <t xml:space="preserve">Cannot produce the shared-home cache file</t>
  </si>
  <si>
    <t xml:space="preserve">From knowledge</t>
  </si>
  <si>
    <t xml:space="preserve">gokrb5</t>
  </si>
  <si>
    <t xml:space="preserve">Go</t>
  </si>
  <si>
    <t xml:space="preserve">Not as far as known</t>
  </si>
  <si>
    <t xml:space="preserve">No (reads only)</t>
  </si>
  <si>
    <t xml:space="preserve">N/A (Go module)</t>
  </si>
  <si>
    <t xml:space="preserve">jcmturner (community)</t>
  </si>
  <si>
    <t xml:space="preserve">Not suitable</t>
  </si>
  <si>
    <t xml:space="preserve">No constrained delegation</t>
  </si>
  <si>
    <t xml:space="preserve">impacket</t>
  </si>
  <si>
    <t xml:space="preserve">Python</t>
  </si>
  <si>
    <t xml:space="preserve">Yes (getST)</t>
  </si>
  <si>
    <t xml:space="preserve">Several (pyasn1, pycryptodomex, ...)</t>
  </si>
  <si>
    <t xml:space="preserve">Fortra; penetration-testing toolkit</t>
  </si>
  <si>
    <t xml:space="preserve">Not recommended</t>
  </si>
  <si>
    <t xml:space="preserve">Offensive-security tooling; hard to justify on a root broker</t>
  </si>
  <si>
    <t xml:space="preserve">minikerberos</t>
  </si>
  <si>
    <t xml:space="preserve">Python, pure-Python protocol</t>
  </si>
  <si>
    <t xml:space="preserve">Yes (S4U2self / S4U2proxy methods)</t>
  </si>
  <si>
    <t xml:space="preserve">Yes (own ccache writer; MIT compatibility untested)</t>
  </si>
  <si>
    <t xml:space="preserve">6: asn1crypto, oscrypto, asysocks, unicrypto, tqdm, six</t>
  </si>
  <si>
    <t xml:space="preserve">skelsec; library behind pypykatz (pentest)</t>
  </si>
  <si>
    <t xml:space="preserve">Ignores krb5.conf (no multi-KDC failover, realm mapping, AES-only policy); v0.4.9</t>
  </si>
  <si>
    <t xml:space="preserve">Source code read, 2026-10-09</t>
  </si>
  <si>
    <t xml:space="preserve">GSS-Proxy</t>
  </si>
  <si>
    <t xml:space="preserve">System daemon (Red Hat)</t>
  </si>
  <si>
    <t xml:space="preserve">Yes; built for impersonation</t>
  </si>
  <si>
    <t xml:space="preserve">No (returns encrypted creds usable only through GSS-Proxy)</t>
  </si>
  <si>
    <t xml:space="preserve">N/A (daemon)</t>
  </si>
  <si>
    <t xml:space="preserve">Red Hat</t>
  </si>
  <si>
    <t xml:space="preserve">Changes the design</t>
  </si>
  <si>
    <t xml:space="preserve">Needs GSS-Proxy on every compute node; conflicts with 'no node-side daemon'</t>
  </si>
  <si>
    <t xml:space="preserve">Summary</t>
  </si>
  <si>
    <t xml:space="preserve">Options compared</t>
  </si>
  <si>
    <t xml:space="preserve">Support constrained delegation (Yes...)</t>
  </si>
  <si>
    <t xml:space="preserve">Can write the shared-home cache file (Yes...)</t>
  </si>
  <si>
    <t xml:space="preserve">Rows still to verify</t>
  </si>
  <si>
    <t xml:space="preserve">How to read this</t>
  </si>
  <si>
    <t xml:space="preserve">Fit column: green = recommended or current; yellow = possible with extra work; red = not recommended or rejected.</t>
  </si>
  <si>
    <t xml:space="preserve">Evidence column: 'Tested' and 'Source code read' were checked in this session; rows marked 'verify' are from general knowledge and should be confirmed before relying on them (shown in orange).</t>
  </si>
  <si>
    <t xml:space="preserve">Key requirements from the design</t>
  </si>
  <si>
    <t xml:space="preserve">1. Constrained delegation (S4U2Self + S4U2Proxy) against Active Directory; unconstrained delegation is not allowed.</t>
  </si>
  <si>
    <t xml:space="preserve">2. Output must be a standard MIT FILE credential cache holding service tickets only (no TGT), written to $HOME/.krb5/krb5cc_hpc.</t>
  </si>
  <si>
    <t xml:space="preserve">3. Runs as root on the broker, so third-party code and crash behavior matter.</t>
  </si>
  <si>
    <t xml:space="preserve">4. No daemon on compute nodes (the shared filesystem is the transport).</t>
  </si>
  <si>
    <t xml:space="preserve">The python-gssapi catch</t>
  </si>
  <si>
    <t xml:space="preserve">Storing impersonated (S4U) credentials with the obvious call may also store the broker's own TGT in the same cache. Copying that file into a user's home would expose the broker identity. A safe design requests each service ticket separately and writes only those to a clean cache. Confirm this behavior in a prototype.</t>
  </si>
  <si>
    <t xml:space="preserve">Recommendation</t>
  </si>
  <si>
    <t xml:space="preserve">Keep the MIT command-line tools (current main). python-gssapi and pykrb5 call the same MIT code through a different interface; switch only if a documented library API is itself a requirement, and prototype python-gssapi on a branch first.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</si>
</sst>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A5F"/>
      <name val="Arial"/>
      <family val="0"/>
      <charset val="1"/>
    </font>
    <font>
      <i val="true"/>
      <sz val="10"/>
      <color rgb="FF5B677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3A5F"/>
      <name val="Arial"/>
      <family val="0"/>
      <charset val="1"/>
    </font>
    <font>
      <sz val="10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2DC"/>
      </left>
      <right style="thin">
        <color rgb="FFCBD2DC"/>
      </right>
      <top style="thin">
        <color rgb="FFCBD2DC"/>
      </top>
      <bottom style="thin">
        <color rgb="FFCBD2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CEBDD"/>
          <bgColor rgb="FF000000"/>
        </patternFill>
      </fill>
    </dxf>
    <dxf>
      <fill>
        <patternFill patternType="solid">
          <fgColor rgb="FFF8D7DA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9C5700"/>
          <bgColor rgb="FF000000"/>
        </patternFill>
      </fill>
    </dxf>
    <dxf>
      <fill>
        <patternFill>
          <bgColor rgb="FFDCEBDD"/>
        </patternFill>
      </fill>
    </dxf>
    <dxf>
      <fill>
        <patternFill>
          <bgColor rgb="FFFFF2CC"/>
        </patternFill>
      </fill>
    </dxf>
    <dxf>
      <fill>
        <patternFill>
          <bgColor rgb="FFF8D7DA"/>
        </patternFill>
      </fill>
    </dxf>
    <dxf>
      <font>
        <name val="Arial"/>
        <charset val="1"/>
        <family val="0"/>
        <color rgb="FF9C5700"/>
        <sz val="10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BD2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CEBDD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5B6778"/>
      <rgbColor rgb="FF969696"/>
      <rgbColor rgb="FF1F3A5F"/>
      <rgbColor rgb="FF339966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4"/>
    <col collapsed="false" customWidth="true" hidden="false" outlineLevel="0" max="3" min="3" style="0" width="30"/>
    <col collapsed="false" customWidth="true" hidden="false" outlineLevel="0" max="4" min="4" style="0" width="28"/>
    <col collapsed="false" customWidth="true" hidden="false" outlineLevel="0" max="5" min="5" style="0" width="26"/>
    <col collapsed="false" customWidth="true" hidden="false" outlineLevel="0" max="6" min="6" style="0" width="30"/>
    <col collapsed="false" customWidth="true" hidden="false" outlineLevel="0" max="7" min="7" style="0" width="20"/>
    <col collapsed="false" customWidth="true" hidden="false" outlineLevel="0" max="8" min="8" style="0" width="46"/>
    <col collapsed="false" customWidth="true" hidden="false" outlineLevel="0" max="9" min="9" style="0" width="2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3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30.75" hidden="false" customHeight="true" outlineLevel="0" collapsed="false">
      <c r="A5" s="4" t="s">
        <v>11</v>
      </c>
      <c r="B5" s="5" t="s">
        <v>12</v>
      </c>
      <c r="C5" s="5" t="s">
        <v>13</v>
      </c>
      <c r="D5" s="5" t="s">
        <v>14</v>
      </c>
      <c r="E5" s="5" t="s">
        <v>15</v>
      </c>
      <c r="F5" s="5" t="s">
        <v>16</v>
      </c>
      <c r="G5" s="5" t="s">
        <v>17</v>
      </c>
      <c r="H5" s="5" t="s">
        <v>18</v>
      </c>
      <c r="I5" s="5" t="s">
        <v>19</v>
      </c>
    </row>
    <row r="6" customFormat="false" ht="30.75" hidden="false" customHeight="true" outlineLevel="0" collapsed="false">
      <c r="A6" s="4" t="s">
        <v>20</v>
      </c>
      <c r="B6" s="5" t="s">
        <v>21</v>
      </c>
      <c r="C6" s="5" t="s">
        <v>22</v>
      </c>
      <c r="D6" s="5" t="s">
        <v>23</v>
      </c>
      <c r="E6" s="5" t="s">
        <v>15</v>
      </c>
      <c r="F6" s="5" t="s">
        <v>24</v>
      </c>
      <c r="G6" s="5" t="s">
        <v>25</v>
      </c>
      <c r="H6" s="5" t="s">
        <v>26</v>
      </c>
      <c r="I6" s="5" t="s">
        <v>27</v>
      </c>
    </row>
    <row r="7" customFormat="false" ht="44.25" hidden="false" customHeight="true" outlineLevel="0" collapsed="false">
      <c r="A7" s="4" t="s">
        <v>28</v>
      </c>
      <c r="B7" s="5" t="s">
        <v>29</v>
      </c>
      <c r="C7" s="5" t="s">
        <v>30</v>
      </c>
      <c r="D7" s="5" t="s">
        <v>31</v>
      </c>
      <c r="E7" s="5" t="s">
        <v>32</v>
      </c>
      <c r="F7" s="5" t="s">
        <v>33</v>
      </c>
      <c r="G7" s="5" t="s">
        <v>34</v>
      </c>
      <c r="H7" s="5" t="s">
        <v>35</v>
      </c>
      <c r="I7" s="5" t="s">
        <v>36</v>
      </c>
    </row>
    <row r="8" customFormat="false" ht="30.75" hidden="false" customHeight="true" outlineLevel="0" collapsed="false">
      <c r="A8" s="4" t="s">
        <v>37</v>
      </c>
      <c r="B8" s="5" t="s">
        <v>38</v>
      </c>
      <c r="C8" s="5" t="s">
        <v>39</v>
      </c>
      <c r="D8" s="5" t="s">
        <v>40</v>
      </c>
      <c r="E8" s="5" t="s">
        <v>41</v>
      </c>
      <c r="F8" s="5" t="s">
        <v>42</v>
      </c>
      <c r="G8" s="5" t="s">
        <v>43</v>
      </c>
      <c r="H8" s="5" t="s">
        <v>44</v>
      </c>
      <c r="I8" s="5" t="s">
        <v>45</v>
      </c>
    </row>
    <row r="9" customFormat="false" ht="30.75" hidden="false" customHeight="true" outlineLevel="0" collapsed="false">
      <c r="A9" s="4" t="s">
        <v>46</v>
      </c>
      <c r="B9" s="5" t="s">
        <v>47</v>
      </c>
      <c r="C9" s="5" t="s">
        <v>48</v>
      </c>
      <c r="D9" s="5" t="s">
        <v>49</v>
      </c>
      <c r="E9" s="5" t="s">
        <v>50</v>
      </c>
      <c r="F9" s="5" t="s">
        <v>51</v>
      </c>
      <c r="G9" s="5" t="s">
        <v>52</v>
      </c>
      <c r="H9" s="5" t="s">
        <v>53</v>
      </c>
      <c r="I9" s="5" t="s">
        <v>45</v>
      </c>
    </row>
    <row r="10" customFormat="false" ht="30.75" hidden="false" customHeight="true" outlineLevel="0" collapsed="false">
      <c r="A10" s="4" t="s">
        <v>54</v>
      </c>
      <c r="B10" s="5" t="s">
        <v>55</v>
      </c>
      <c r="C10" s="5" t="s">
        <v>56</v>
      </c>
      <c r="D10" s="5" t="s">
        <v>57</v>
      </c>
      <c r="E10" s="5" t="s">
        <v>58</v>
      </c>
      <c r="F10" s="5" t="s">
        <v>59</v>
      </c>
      <c r="G10" s="5" t="s">
        <v>60</v>
      </c>
      <c r="H10" s="5" t="s">
        <v>61</v>
      </c>
      <c r="I10" s="5" t="s">
        <v>62</v>
      </c>
    </row>
    <row r="11" customFormat="false" ht="17.25" hidden="false" customHeight="true" outlineLevel="0" collapsed="false">
      <c r="A11" s="4" t="s">
        <v>63</v>
      </c>
      <c r="B11" s="5" t="s">
        <v>64</v>
      </c>
      <c r="C11" s="5" t="s">
        <v>65</v>
      </c>
      <c r="D11" s="5" t="s">
        <v>66</v>
      </c>
      <c r="E11" s="5" t="s">
        <v>67</v>
      </c>
      <c r="F11" s="5" t="s">
        <v>68</v>
      </c>
      <c r="G11" s="5" t="s">
        <v>69</v>
      </c>
      <c r="H11" s="5" t="s">
        <v>70</v>
      </c>
      <c r="I11" s="5" t="s">
        <v>45</v>
      </c>
    </row>
    <row r="12" customFormat="false" ht="30.75" hidden="false" customHeight="true" outlineLevel="0" collapsed="false">
      <c r="A12" s="4" t="s">
        <v>71</v>
      </c>
      <c r="B12" s="5" t="s">
        <v>72</v>
      </c>
      <c r="C12" s="5" t="s">
        <v>73</v>
      </c>
      <c r="D12" s="5" t="s">
        <v>40</v>
      </c>
      <c r="E12" s="5" t="s">
        <v>74</v>
      </c>
      <c r="F12" s="5" t="s">
        <v>75</v>
      </c>
      <c r="G12" s="5" t="s">
        <v>76</v>
      </c>
      <c r="H12" s="5" t="s">
        <v>77</v>
      </c>
      <c r="I12" s="5" t="s">
        <v>62</v>
      </c>
    </row>
    <row r="13" customFormat="false" ht="30.75" hidden="false" customHeight="true" outlineLevel="0" collapsed="false">
      <c r="A13" s="4" t="s">
        <v>78</v>
      </c>
      <c r="B13" s="5" t="s">
        <v>79</v>
      </c>
      <c r="C13" s="5" t="s">
        <v>80</v>
      </c>
      <c r="D13" s="5" t="s">
        <v>81</v>
      </c>
      <c r="E13" s="5" t="s">
        <v>82</v>
      </c>
      <c r="F13" s="5" t="s">
        <v>83</v>
      </c>
      <c r="G13" s="5" t="s">
        <v>76</v>
      </c>
      <c r="H13" s="5" t="s">
        <v>84</v>
      </c>
      <c r="I13" s="5" t="s">
        <v>85</v>
      </c>
    </row>
    <row r="14" customFormat="false" ht="30.75" hidden="false" customHeight="true" outlineLevel="0" collapsed="false">
      <c r="A14" s="4" t="s">
        <v>86</v>
      </c>
      <c r="B14" s="5" t="s">
        <v>87</v>
      </c>
      <c r="C14" s="5" t="s">
        <v>88</v>
      </c>
      <c r="D14" s="5" t="s">
        <v>89</v>
      </c>
      <c r="E14" s="5" t="s">
        <v>90</v>
      </c>
      <c r="F14" s="5" t="s">
        <v>91</v>
      </c>
      <c r="G14" s="5" t="s">
        <v>92</v>
      </c>
      <c r="H14" s="5" t="s">
        <v>93</v>
      </c>
      <c r="I14" s="5" t="s">
        <v>62</v>
      </c>
    </row>
    <row r="16" customFormat="false" ht="15" hidden="false" customHeight="false" outlineLevel="0" collapsed="false">
      <c r="A16" s="6" t="s">
        <v>94</v>
      </c>
    </row>
    <row r="17" customFormat="false" ht="15" hidden="false" customHeight="false" outlineLevel="0" collapsed="false">
      <c r="A17" s="7" t="s">
        <v>95</v>
      </c>
      <c r="B17" s="7"/>
      <c r="C17" s="8" t="n">
        <f aca="false">COUNTA(A5:A14)</f>
        <v>10</v>
      </c>
    </row>
    <row r="18" customFormat="false" ht="15" hidden="false" customHeight="false" outlineLevel="0" collapsed="false">
      <c r="A18" s="7" t="s">
        <v>96</v>
      </c>
      <c r="B18" s="7"/>
      <c r="C18" s="8" t="n">
        <f aca="false">COUNTIF(C5:C14,"Yes*")</f>
        <v>8</v>
      </c>
    </row>
    <row r="19" customFormat="false" ht="15" hidden="false" customHeight="false" outlineLevel="0" collapsed="false">
      <c r="A19" s="7" t="s">
        <v>97</v>
      </c>
      <c r="B19" s="7"/>
      <c r="C19" s="8" t="n">
        <f aca="false">COUNTIF(D5:D14,"Yes*")</f>
        <v>6</v>
      </c>
    </row>
    <row r="20" customFormat="false" ht="15" hidden="false" customHeight="false" outlineLevel="0" collapsed="false">
      <c r="A20" s="7" t="s">
        <v>98</v>
      </c>
      <c r="B20" s="7"/>
      <c r="C20" s="8" t="n">
        <f aca="false">COUNTIF(I5:I14,"*verify*")</f>
        <v>4</v>
      </c>
    </row>
  </sheetData>
  <autoFilter ref="A4:I14"/>
  <mergeCells count="4">
    <mergeCell ref="A17:B17"/>
    <mergeCell ref="A18:B18"/>
    <mergeCell ref="A19:B19"/>
    <mergeCell ref="A20:B20"/>
  </mergeCells>
  <conditionalFormatting sqref="G5:G14">
    <cfRule type="cellIs" priority="2" operator="equal" aboveAverage="0" equalAverage="0" bottom="0" percent="0" rank="0" text="" dxfId="7">
      <formula>"Current choice"</formula>
    </cfRule>
    <cfRule type="cellIs" priority="3" operator="equal" aboveAverage="0" equalAverage="0" bottom="0" percent="0" rank="0" text="" dxfId="7">
      <formula>"Best library option"</formula>
    </cfRule>
    <cfRule type="cellIs" priority="4" operator="equal" aboveAverage="0" equalAverage="0" bottom="0" percent="0" rank="0" text="" dxfId="8">
      <formula>"Good if S4U is exposed"</formula>
    </cfRule>
    <cfRule type="cellIs" priority="5" operator="equal" aboveAverage="0" equalAverage="0" bottom="0" percent="0" rank="0" text="" dxfId="8">
      <formula>"Possible, needs rewrite"</formula>
    </cfRule>
    <cfRule type="cellIs" priority="6" operator="equal" aboveAverage="0" equalAverage="0" bottom="0" percent="0" rank="0" text="" dxfId="8">
      <formula>"Changes the design"</formula>
    </cfRule>
    <cfRule type="cellIs" priority="7" operator="equal" aboveAverage="0" equalAverage="0" bottom="0" percent="0" rank="0" text="" dxfId="9">
      <formula>"Rejected"</formula>
    </cfRule>
    <cfRule type="cellIs" priority="8" operator="equal" aboveAverage="0" equalAverage="0" bottom="0" percent="0" rank="0" text="" dxfId="9">
      <formula>"Poor fit"</formula>
    </cfRule>
    <cfRule type="cellIs" priority="9" operator="equal" aboveAverage="0" equalAverage="0" bottom="0" percent="0" rank="0" text="" dxfId="9">
      <formula>"Not suitable"</formula>
    </cfRule>
    <cfRule type="cellIs" priority="10" operator="equal" aboveAverage="0" equalAverage="0" bottom="0" percent="0" rank="0" text="" dxfId="9">
      <formula>"Not recommended"</formula>
    </cfRule>
  </conditionalFormatting>
  <conditionalFormatting sqref="I5:I14">
    <cfRule type="expression" priority="11" aboveAverage="0" equalAverage="0" bottom="0" percent="0" rank="0" text="" dxfId="10">
      <formula>ISNUMBER(SEARCH("verify",I5))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6.5" hidden="false" customHeight="true" outlineLevel="0" collapsed="false">
      <c r="A1" s="9" t="s">
        <v>99</v>
      </c>
    </row>
    <row r="2" customFormat="false" ht="16.5" hidden="false" customHeight="true" outlineLevel="0" collapsed="false">
      <c r="A2" s="10" t="s">
        <v>100</v>
      </c>
    </row>
    <row r="3" customFormat="false" ht="30" hidden="false" customHeight="true" outlineLevel="0" collapsed="false">
      <c r="A3" s="10" t="s">
        <v>101</v>
      </c>
    </row>
    <row r="4" customFormat="false" ht="15" hidden="false" customHeight="true" outlineLevel="0" collapsed="false">
      <c r="A4" s="10"/>
    </row>
    <row r="5" customFormat="false" ht="16.5" hidden="false" customHeight="true" outlineLevel="0" collapsed="false">
      <c r="A5" s="9" t="s">
        <v>102</v>
      </c>
    </row>
    <row r="6" customFormat="false" ht="16.5" hidden="false" customHeight="true" outlineLevel="0" collapsed="false">
      <c r="A6" s="10" t="s">
        <v>103</v>
      </c>
    </row>
    <row r="7" customFormat="false" ht="16.5" hidden="false" customHeight="true" outlineLevel="0" collapsed="false">
      <c r="A7" s="10" t="s">
        <v>104</v>
      </c>
    </row>
    <row r="8" customFormat="false" ht="16.5" hidden="false" customHeight="true" outlineLevel="0" collapsed="false">
      <c r="A8" s="10" t="s">
        <v>105</v>
      </c>
    </row>
    <row r="9" customFormat="false" ht="16.5" hidden="false" customHeight="true" outlineLevel="0" collapsed="false">
      <c r="A9" s="10" t="s">
        <v>106</v>
      </c>
    </row>
    <row r="10" customFormat="false" ht="15" hidden="false" customHeight="true" outlineLevel="0" collapsed="false">
      <c r="A10" s="10"/>
    </row>
    <row r="11" customFormat="false" ht="16.5" hidden="false" customHeight="true" outlineLevel="0" collapsed="false">
      <c r="A11" s="9" t="s">
        <v>107</v>
      </c>
    </row>
    <row r="12" customFormat="false" ht="43.5" hidden="false" customHeight="true" outlineLevel="0" collapsed="false">
      <c r="A12" s="10" t="s">
        <v>108</v>
      </c>
    </row>
    <row r="13" customFormat="false" ht="15" hidden="false" customHeight="true" outlineLevel="0" collapsed="false">
      <c r="A13" s="10"/>
    </row>
    <row r="14" customFormat="false" ht="16.5" hidden="false" customHeight="true" outlineLevel="0" collapsed="false">
      <c r="A14" s="9" t="s">
        <v>109</v>
      </c>
    </row>
    <row r="15" customFormat="false" ht="30" hidden="false" customHeight="true" outlineLevel="0" collapsed="false">
      <c r="A15" s="10" t="s">
        <v>110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2026-10-09T21:26:09Z</dcterms:created>
  <dc:creator>openpyxl</dc:creator>
  <dc:description/>
  <dc:language>en-US</dc:language>
  <cp:lastModifiedBy/>
  <dcterms:modified xsi:type="dcterms:W3CDTF">2026-10-09T21:26:09Z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